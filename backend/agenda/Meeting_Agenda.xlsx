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AH MENG\"/>
    </mc:Choice>
  </mc:AlternateContent>
  <xr:revisionPtr revIDLastSave="0" documentId="13_ncr:1_{37EB2068-ED78-4748-9057-A00BE35411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" l="1"/>
  <c r="E16" i="1"/>
  <c r="F16" i="1"/>
  <c r="J16" i="1"/>
  <c r="K16" i="1" s="1"/>
  <c r="E8" i="1"/>
  <c r="E10" i="1"/>
  <c r="E14" i="1"/>
  <c r="J12" i="1"/>
  <c r="J14" i="1"/>
  <c r="J8" i="1"/>
  <c r="E12" i="1"/>
  <c r="F14" i="1" l="1"/>
  <c r="F12" i="1"/>
  <c r="F8" i="1"/>
  <c r="E6" i="1"/>
  <c r="F6" i="1" s="1"/>
  <c r="F10" i="1"/>
  <c r="K12" i="1"/>
  <c r="K14" i="1"/>
  <c r="K10" i="1"/>
  <c r="K8" i="1"/>
  <c r="J6" i="1"/>
  <c r="K6" i="1" l="1"/>
</calcChain>
</file>

<file path=xl/sharedStrings.xml><?xml version="1.0" encoding="utf-8"?>
<sst xmlns="http://schemas.openxmlformats.org/spreadsheetml/2006/main" count="64" uniqueCount="41">
  <si>
    <t>MEETING AGENDA</t>
  </si>
  <si>
    <t>MPT</t>
  </si>
  <si>
    <t>A</t>
  </si>
  <si>
    <t>B</t>
  </si>
  <si>
    <t>C</t>
  </si>
  <si>
    <t>D=C-B</t>
  </si>
  <si>
    <t>E=D/B</t>
  </si>
  <si>
    <t>I=H-G</t>
  </si>
  <si>
    <t>J=I/G</t>
  </si>
  <si>
    <t>Unit</t>
  </si>
  <si>
    <t>Variance Amount</t>
  </si>
  <si>
    <t>MPT/HRDF/2019/OPMEETINGAGENDA</t>
  </si>
  <si>
    <t>Variant % (^/v)</t>
  </si>
  <si>
    <t>JCI</t>
  </si>
  <si>
    <t>KMT</t>
  </si>
  <si>
    <t>GPL</t>
  </si>
  <si>
    <t>MRT</t>
  </si>
  <si>
    <t>PIC:GARY</t>
  </si>
  <si>
    <t>ADJUST DISPLAY</t>
  </si>
  <si>
    <t>RANDOM CHECK STOCK</t>
  </si>
  <si>
    <t>MONTH:</t>
  </si>
  <si>
    <t>Profit</t>
  </si>
  <si>
    <t>MFW</t>
  </si>
  <si>
    <t>FY25/MCO</t>
  </si>
  <si>
    <t>FY26/</t>
  </si>
  <si>
    <t>PROFIT 25/26</t>
  </si>
  <si>
    <t>2026 YEAR</t>
  </si>
  <si>
    <t xml:space="preserve">FY25/ Acc. Sales </t>
  </si>
  <si>
    <t>FY26/ Acc. Sales</t>
  </si>
  <si>
    <t>SAT</t>
  </si>
  <si>
    <t>APRIL</t>
  </si>
  <si>
    <t>G 1-4</t>
  </si>
  <si>
    <t>H 1-4</t>
  </si>
  <si>
    <t>JAN-APR 25</t>
  </si>
  <si>
    <t>JAN-APR 26</t>
  </si>
  <si>
    <t>JCI        37.40%</t>
  </si>
  <si>
    <t>GPL      46.83%</t>
  </si>
  <si>
    <t>MFW   29.20%</t>
  </si>
  <si>
    <t>MRT     60.51%</t>
  </si>
  <si>
    <t>SAT      53.15%</t>
  </si>
  <si>
    <t>KMT      65.07%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</si>
</sst>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30"/>
      <color theme="1"/>
      <name val="Cambria"/>
      <family val="1"/>
      <scheme val="maj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002060"/>
      <name val="Cambria"/>
      <family val="1"/>
      <scheme val="maj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wrapText="1"/>
    </xf>
    <xf numFmtId="0" fontId="0" fillId="0" borderId="0" xfId="0" applyBorder="1"/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164" fontId="2" fillId="0" borderId="9" xfId="1" applyNumberFormat="1" applyFont="1" applyBorder="1" applyAlignment="1">
      <alignment vertical="top"/>
    </xf>
    <xf numFmtId="0" fontId="6" fillId="0" borderId="0" xfId="0" applyFont="1"/>
    <xf numFmtId="0" fontId="2" fillId="0" borderId="15" xfId="0" applyFont="1" applyBorder="1" applyAlignment="1">
      <alignment vertical="top"/>
    </xf>
    <xf numFmtId="44" fontId="2" fillId="0" borderId="15" xfId="0" applyNumberFormat="1" applyFont="1" applyBorder="1" applyAlignment="1">
      <alignment vertical="top"/>
    </xf>
    <xf numFmtId="44" fontId="2" fillId="0" borderId="9" xfId="1" applyNumberFormat="1" applyFont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44" fontId="2" fillId="0" borderId="9" xfId="1" applyNumberFormat="1" applyFont="1" applyBorder="1" applyAlignment="1">
      <alignment vertical="top"/>
    </xf>
    <xf numFmtId="164" fontId="2" fillId="0" borderId="15" xfId="1" applyNumberFormat="1" applyFont="1" applyBorder="1" applyAlignment="1">
      <alignment vertical="top"/>
    </xf>
    <xf numFmtId="0" fontId="2" fillId="0" borderId="26" xfId="0" applyFont="1" applyBorder="1" applyAlignment="1">
      <alignment vertical="top"/>
    </xf>
    <xf numFmtId="0" fontId="0" fillId="0" borderId="16" xfId="0" applyBorder="1"/>
    <xf numFmtId="44" fontId="2" fillId="0" borderId="9" xfId="0" applyNumberFormat="1" applyFont="1" applyBorder="1" applyAlignment="1">
      <alignment vertical="top"/>
    </xf>
    <xf numFmtId="10" fontId="10" fillId="0" borderId="8" xfId="0" applyNumberFormat="1" applyFont="1" applyBorder="1" applyAlignment="1">
      <alignment vertical="top"/>
    </xf>
    <xf numFmtId="10" fontId="10" fillId="0" borderId="4" xfId="0" applyNumberFormat="1" applyFont="1" applyBorder="1" applyAlignment="1">
      <alignment vertical="top"/>
    </xf>
    <xf numFmtId="10" fontId="10" fillId="0" borderId="11" xfId="0" applyNumberFormat="1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10" fontId="2" fillId="0" borderId="0" xfId="0" applyNumberFormat="1" applyFont="1" applyBorder="1" applyAlignment="1">
      <alignment vertical="top"/>
    </xf>
    <xf numFmtId="0" fontId="10" fillId="0" borderId="15" xfId="0" applyFont="1" applyBorder="1"/>
    <xf numFmtId="10" fontId="10" fillId="0" borderId="11" xfId="0" applyNumberFormat="1" applyFont="1" applyBorder="1"/>
    <xf numFmtId="10" fontId="15" fillId="0" borderId="8" xfId="0" applyNumberFormat="1" applyFont="1" applyBorder="1" applyAlignment="1">
      <alignment vertical="top"/>
    </xf>
    <xf numFmtId="10" fontId="10" fillId="0" borderId="6" xfId="0" applyNumberFormat="1" applyFont="1" applyBorder="1" applyAlignment="1">
      <alignment vertical="top"/>
    </xf>
    <xf numFmtId="0" fontId="10" fillId="0" borderId="28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10" fontId="10" fillId="0" borderId="27" xfId="0" applyNumberFormat="1" applyFont="1" applyBorder="1" applyAlignment="1">
      <alignment vertical="top"/>
    </xf>
    <xf numFmtId="4" fontId="9" fillId="0" borderId="11" xfId="0" applyNumberFormat="1" applyFont="1" applyBorder="1"/>
    <xf numFmtId="0" fontId="9" fillId="0" borderId="11" xfId="0" applyFont="1" applyBorder="1"/>
    <xf numFmtId="0" fontId="8" fillId="0" borderId="11" xfId="0" applyFont="1" applyBorder="1"/>
    <xf numFmtId="0" fontId="19" fillId="0" borderId="13" xfId="0" applyFont="1" applyBorder="1" applyAlignment="1">
      <alignment vertical="top" wrapText="1"/>
    </xf>
    <xf numFmtId="4" fontId="13" fillId="0" borderId="9" xfId="0" applyNumberFormat="1" applyFont="1" applyBorder="1" applyAlignment="1">
      <alignment vertical="top"/>
    </xf>
    <xf numFmtId="4" fontId="13" fillId="0" borderId="10" xfId="0" applyNumberFormat="1" applyFont="1" applyBorder="1" applyAlignment="1">
      <alignment vertical="top"/>
    </xf>
    <xf numFmtId="4" fontId="13" fillId="0" borderId="8" xfId="0" applyNumberFormat="1" applyFont="1" applyBorder="1" applyAlignment="1">
      <alignment vertical="top"/>
    </xf>
    <xf numFmtId="4" fontId="13" fillId="0" borderId="15" xfId="0" applyNumberFormat="1" applyFont="1" applyBorder="1" applyAlignment="1">
      <alignment vertical="top"/>
    </xf>
    <xf numFmtId="4" fontId="13" fillId="0" borderId="27" xfId="0" applyNumberFormat="1" applyFont="1" applyBorder="1" applyAlignment="1">
      <alignment vertical="top"/>
    </xf>
    <xf numFmtId="44" fontId="2" fillId="0" borderId="26" xfId="0" applyNumberFormat="1" applyFont="1" applyBorder="1" applyAlignment="1">
      <alignment vertical="top"/>
    </xf>
    <xf numFmtId="4" fontId="13" fillId="0" borderId="11" xfId="0" applyNumberFormat="1" applyFont="1" applyBorder="1" applyAlignment="1">
      <alignment vertical="top"/>
    </xf>
    <xf numFmtId="3" fontId="13" fillId="0" borderId="9" xfId="0" applyNumberFormat="1" applyFont="1" applyBorder="1" applyAlignment="1">
      <alignment vertical="top"/>
    </xf>
    <xf numFmtId="4" fontId="13" fillId="0" borderId="33" xfId="0" applyNumberFormat="1" applyFont="1" applyBorder="1" applyAlignment="1">
      <alignment vertical="top"/>
    </xf>
    <xf numFmtId="0" fontId="8" fillId="0" borderId="27" xfId="0" applyFont="1" applyBorder="1"/>
    <xf numFmtId="10" fontId="20" fillId="0" borderId="11" xfId="0" applyNumberFormat="1" applyFont="1" applyBorder="1"/>
    <xf numFmtId="9" fontId="15" fillId="0" borderId="15" xfId="2" applyFont="1" applyBorder="1" applyAlignment="1">
      <alignment vertical="top"/>
    </xf>
    <xf numFmtId="44" fontId="0" fillId="0" borderId="0" xfId="0" applyNumberFormat="1"/>
    <xf numFmtId="0" fontId="21" fillId="0" borderId="0" xfId="0" applyFont="1"/>
    <xf numFmtId="164" fontId="22" fillId="0" borderId="15" xfId="1" applyNumberFormat="1" applyFont="1" applyBorder="1" applyAlignment="1">
      <alignment vertical="top"/>
    </xf>
    <xf numFmtId="9" fontId="14" fillId="0" borderId="9" xfId="2" applyFont="1" applyBorder="1" applyAlignment="1">
      <alignment vertical="top"/>
    </xf>
    <xf numFmtId="0" fontId="2" fillId="0" borderId="6" xfId="0" applyFont="1" applyBorder="1"/>
    <xf numFmtId="4" fontId="13" fillId="0" borderId="0" xfId="0" applyNumberFormat="1" applyFont="1"/>
    <xf numFmtId="4" fontId="13" fillId="0" borderId="11" xfId="0" applyNumberFormat="1" applyFont="1" applyBorder="1"/>
    <xf numFmtId="4" fontId="13" fillId="0" borderId="29" xfId="0" applyNumberFormat="1" applyFont="1" applyBorder="1"/>
    <xf numFmtId="17" fontId="0" fillId="0" borderId="0" xfId="0" applyNumberFormat="1"/>
    <xf numFmtId="10" fontId="14" fillId="0" borderId="11" xfId="0" applyNumberFormat="1" applyFont="1" applyBorder="1" applyAlignment="1">
      <alignment vertical="top"/>
    </xf>
    <xf numFmtId="9" fontId="15" fillId="0" borderId="9" xfId="2" applyFont="1" applyBorder="1" applyAlignment="1">
      <alignment vertical="top"/>
    </xf>
    <xf numFmtId="10" fontId="15" fillId="0" borderId="27" xfId="0" applyNumberFormat="1" applyFont="1" applyBorder="1" applyAlignment="1">
      <alignment vertical="top"/>
    </xf>
    <xf numFmtId="10" fontId="14" fillId="0" borderId="8" xfId="0" applyNumberFormat="1" applyFont="1" applyBorder="1" applyAlignment="1">
      <alignment vertical="top"/>
    </xf>
    <xf numFmtId="10" fontId="14" fillId="0" borderId="27" xfId="0" applyNumberFormat="1" applyFont="1" applyBorder="1" applyAlignment="1">
      <alignment vertical="top"/>
    </xf>
    <xf numFmtId="0" fontId="7" fillId="0" borderId="0" xfId="0" applyFont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10" fillId="0" borderId="30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10" fillId="0" borderId="8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5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16" fillId="0" borderId="21" xfId="0" applyFont="1" applyBorder="1"/>
    <xf numFmtId="0" fontId="16" fillId="0" borderId="22" xfId="0" applyFont="1" applyBorder="1"/>
    <xf numFmtId="0" fontId="10" fillId="0" borderId="20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0" fillId="0" borderId="21" xfId="0" applyBorder="1"/>
    <xf numFmtId="0" fontId="0" fillId="0" borderId="22" xfId="0" applyBorder="1"/>
    <xf numFmtId="44" fontId="17" fillId="0" borderId="7" xfId="0" applyNumberFormat="1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5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0" fillId="0" borderId="21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0" fontId="14" fillId="0" borderId="23" xfId="0" applyFont="1" applyBorder="1" applyAlignment="1">
      <alignment horizontal="left" vertical="top" wrapText="1"/>
    </xf>
    <xf numFmtId="0" fontId="0" fillId="0" borderId="24" xfId="0" applyBorder="1"/>
    <xf numFmtId="0" fontId="0" fillId="0" borderId="25" xfId="0" applyBorder="1"/>
    <xf numFmtId="0" fontId="12" fillId="0" borderId="23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0" fontId="11" fillId="0" borderId="25" xfId="0" applyFont="1" applyBorder="1" applyAlignment="1">
      <alignment horizontal="left" vertical="top" wrapText="1"/>
    </xf>
    <xf numFmtId="0" fontId="17" fillId="0" borderId="20" xfId="0" applyFont="1" applyBorder="1" applyAlignment="1">
      <alignment horizontal="left" vertical="top" wrapText="1"/>
    </xf>
    <xf numFmtId="0" fontId="17" fillId="0" borderId="21" xfId="0" applyFont="1" applyBorder="1" applyAlignment="1">
      <alignment horizontal="left" vertical="top" wrapText="1"/>
    </xf>
    <xf numFmtId="0" fontId="17" fillId="0" borderId="22" xfId="0" applyFont="1" applyBorder="1" applyAlignment="1">
      <alignment horizontal="left" vertical="top" wrapText="1"/>
    </xf>
    <xf numFmtId="0" fontId="14" fillId="0" borderId="21" xfId="0" applyFont="1" applyBorder="1" applyAlignment="1">
      <alignment horizontal="left" vertical="top" wrapText="1"/>
    </xf>
    <xf numFmtId="0" fontId="14" fillId="0" borderId="22" xfId="0" applyFont="1" applyBorder="1" applyAlignment="1">
      <alignment horizontal="left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abSelected="1" workbookViewId="0">
      <selection activeCell="H9" sqref="H9"/>
    </sheetView>
  </sheetViews>
  <sheetFormatPr defaultColWidth="10.140625" defaultRowHeight="15" x14ac:dyDescent="0.25"/>
  <cols>
    <col min="1" max="1" width="1.7109375" customWidth="1"/>
    <col min="2" max="2" width="5.7109375" customWidth="1"/>
    <col min="3" max="4" width="12.5703125" customWidth="1"/>
    <col min="5" max="5" width="11.5703125" customWidth="1"/>
    <col min="6" max="6" width="8.5703125" customWidth="1"/>
    <col min="7" max="7" width="12.140625" customWidth="1"/>
    <col min="8" max="8" width="16.42578125" customWidth="1"/>
    <col min="9" max="9" width="16.5703125" customWidth="1"/>
    <col min="10" max="10" width="11" bestFit="1" customWidth="1"/>
    <col min="11" max="11" width="11.5703125" customWidth="1"/>
    <col min="12" max="12" width="21.140625" customWidth="1"/>
    <col min="14" max="14" width="17.85546875" customWidth="1"/>
    <col min="15" max="15" width="19.28515625" customWidth="1"/>
  </cols>
  <sheetData>
    <row r="1" spans="1:12" ht="37.5" x14ac:dyDescent="0.5">
      <c r="B1" s="1" t="s">
        <v>0</v>
      </c>
      <c r="C1" s="1"/>
      <c r="D1" s="1"/>
      <c r="E1" s="1" t="s">
        <v>20</v>
      </c>
      <c r="F1" s="1" t="s">
        <v>30</v>
      </c>
      <c r="G1" s="1"/>
      <c r="H1" s="51" t="s">
        <v>17</v>
      </c>
      <c r="I1" s="2"/>
      <c r="J1" s="2"/>
      <c r="K1" s="64" t="s">
        <v>1</v>
      </c>
      <c r="L1" s="64"/>
    </row>
    <row r="2" spans="1:12" x14ac:dyDescent="0.25">
      <c r="B2" s="11" t="s">
        <v>11</v>
      </c>
      <c r="F2" t="s">
        <v>26</v>
      </c>
      <c r="H2" s="58" t="s">
        <v>33</v>
      </c>
      <c r="I2" s="58" t="s">
        <v>34</v>
      </c>
    </row>
    <row r="3" spans="1:12" ht="8.25" customHeight="1" thickBot="1" x14ac:dyDescent="0.3"/>
    <row r="4" spans="1:12" ht="16.5" customHeight="1" thickBot="1" x14ac:dyDescent="0.3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/>
      <c r="H4" s="3" t="s">
        <v>31</v>
      </c>
      <c r="I4" s="3" t="s">
        <v>32</v>
      </c>
      <c r="J4" s="3" t="s">
        <v>7</v>
      </c>
      <c r="K4" s="3" t="s">
        <v>8</v>
      </c>
      <c r="L4" s="3"/>
    </row>
    <row r="5" spans="1:12" ht="32.25" customHeight="1" thickBot="1" x14ac:dyDescent="0.3">
      <c r="B5" s="5" t="s">
        <v>9</v>
      </c>
      <c r="C5" s="5" t="s">
        <v>23</v>
      </c>
      <c r="D5" s="5" t="s">
        <v>24</v>
      </c>
      <c r="E5" s="5" t="s">
        <v>10</v>
      </c>
      <c r="F5" s="5" t="s">
        <v>12</v>
      </c>
      <c r="G5" s="5" t="s">
        <v>25</v>
      </c>
      <c r="H5" s="5" t="s">
        <v>27</v>
      </c>
      <c r="I5" s="5" t="s">
        <v>28</v>
      </c>
      <c r="J5" s="5" t="s">
        <v>10</v>
      </c>
      <c r="K5" s="5" t="s">
        <v>12</v>
      </c>
      <c r="L5" s="5" t="s">
        <v>25</v>
      </c>
    </row>
    <row r="6" spans="1:12" ht="14.25" customHeight="1" x14ac:dyDescent="0.25">
      <c r="B6" s="15" t="s">
        <v>13</v>
      </c>
      <c r="C6" s="14">
        <v>216574.9</v>
      </c>
      <c r="D6" s="16">
        <v>168338.1</v>
      </c>
      <c r="E6" s="10">
        <f>D6-C6</f>
        <v>-48236.799999999988</v>
      </c>
      <c r="F6" s="53">
        <f>E6/C6</f>
        <v>-0.22272571752312936</v>
      </c>
      <c r="G6" s="38">
        <v>86375.3</v>
      </c>
      <c r="H6" s="14">
        <v>897036.4</v>
      </c>
      <c r="I6" s="16">
        <v>747597.4</v>
      </c>
      <c r="J6" s="10">
        <f>I6-H6</f>
        <v>-149439</v>
      </c>
      <c r="K6" s="53">
        <f>J6/H6</f>
        <v>-0.16659190195626397</v>
      </c>
      <c r="L6" s="38">
        <v>335516.93</v>
      </c>
    </row>
    <row r="7" spans="1:12" ht="15" customHeight="1" thickBot="1" x14ac:dyDescent="0.3">
      <c r="A7" s="19"/>
      <c r="B7" s="25" t="s">
        <v>21</v>
      </c>
      <c r="C7" s="21">
        <v>0.39879999999999999</v>
      </c>
      <c r="D7" s="21">
        <v>0.41039999999999999</v>
      </c>
      <c r="E7" s="29">
        <v>1.1599999999999999E-2</v>
      </c>
      <c r="F7" s="34"/>
      <c r="G7" s="44">
        <v>69089.91</v>
      </c>
      <c r="H7" s="21" t="s">
        <v>35</v>
      </c>
      <c r="I7" s="21">
        <v>0.43369999999999997</v>
      </c>
      <c r="J7" s="29">
        <v>5.9700000000000003E-2</v>
      </c>
      <c r="K7" s="36"/>
      <c r="L7" s="46">
        <v>324262.12</v>
      </c>
    </row>
    <row r="8" spans="1:12" ht="15.75" customHeight="1" x14ac:dyDescent="0.25">
      <c r="B8" s="18" t="s">
        <v>14</v>
      </c>
      <c r="C8" s="20">
        <v>35157.86</v>
      </c>
      <c r="D8" s="13">
        <v>35824.75</v>
      </c>
      <c r="E8" s="52">
        <f>D8-C8</f>
        <v>666.88999999999942</v>
      </c>
      <c r="F8" s="49">
        <f t="shared" ref="F8:F12" si="0">E8/C8</f>
        <v>1.8968446884992416E-2</v>
      </c>
      <c r="G8" s="38">
        <v>23286.66</v>
      </c>
      <c r="H8" s="20">
        <v>139913.98000000001</v>
      </c>
      <c r="I8" s="13">
        <v>154591.32999999999</v>
      </c>
      <c r="J8" s="17">
        <f>I8-H8</f>
        <v>14677.349999999977</v>
      </c>
      <c r="K8" s="49">
        <f t="shared" ref="K8:K16" si="1">J8/H8</f>
        <v>0.10490266948306363</v>
      </c>
      <c r="L8" s="38">
        <v>91046.19</v>
      </c>
    </row>
    <row r="9" spans="1:12" ht="14.25" customHeight="1" thickBot="1" x14ac:dyDescent="0.3">
      <c r="A9" s="19"/>
      <c r="B9" s="24" t="s">
        <v>21</v>
      </c>
      <c r="C9" s="23">
        <v>0.6623</v>
      </c>
      <c r="D9" s="22">
        <v>0.65149999999999997</v>
      </c>
      <c r="E9" s="62">
        <v>-1.0800000000000001E-2</v>
      </c>
      <c r="F9" s="35"/>
      <c r="G9" s="41">
        <v>23338.76</v>
      </c>
      <c r="H9" s="23" t="s">
        <v>40</v>
      </c>
      <c r="I9" s="22">
        <v>0.65690000000000004</v>
      </c>
      <c r="J9" s="29">
        <v>-6.1999999999999998E-3</v>
      </c>
      <c r="K9" s="35"/>
      <c r="L9" s="44">
        <v>101554.74</v>
      </c>
    </row>
    <row r="10" spans="1:12" ht="14.25" customHeight="1" x14ac:dyDescent="0.25">
      <c r="B10" s="12" t="s">
        <v>15</v>
      </c>
      <c r="C10" s="13">
        <v>50291.8</v>
      </c>
      <c r="D10" s="13">
        <v>60359.6</v>
      </c>
      <c r="E10" s="52">
        <f>D10-C10</f>
        <v>10067.799999999996</v>
      </c>
      <c r="F10" s="49">
        <f t="shared" si="0"/>
        <v>0.20018770455620985</v>
      </c>
      <c r="G10" s="45">
        <v>23737.58</v>
      </c>
      <c r="H10" s="13">
        <v>221087</v>
      </c>
      <c r="I10" s="13">
        <v>235309.8</v>
      </c>
      <c r="J10" s="17">
        <f>I10-H10</f>
        <v>14222.799999999988</v>
      </c>
      <c r="K10" s="49">
        <f>J10/H10</f>
        <v>6.4331236119717528E-2</v>
      </c>
      <c r="L10" s="38">
        <v>103532.45</v>
      </c>
    </row>
    <row r="11" spans="1:12" ht="15" customHeight="1" thickBot="1" x14ac:dyDescent="0.3">
      <c r="A11" s="19"/>
      <c r="B11" s="24" t="s">
        <v>21</v>
      </c>
      <c r="C11" s="23">
        <v>0.47199999999999998</v>
      </c>
      <c r="D11" s="23">
        <v>0.52649999999999997</v>
      </c>
      <c r="E11" s="29">
        <v>5.45E-2</v>
      </c>
      <c r="F11" s="35"/>
      <c r="G11" s="40">
        <v>31779.62</v>
      </c>
      <c r="H11" s="23" t="s">
        <v>36</v>
      </c>
      <c r="I11" s="23">
        <v>0.52569999999999995</v>
      </c>
      <c r="J11" s="29">
        <v>5.74E-2</v>
      </c>
      <c r="K11" s="36"/>
      <c r="L11" s="44">
        <v>123707.05</v>
      </c>
    </row>
    <row r="12" spans="1:12" ht="14.25" customHeight="1" x14ac:dyDescent="0.25">
      <c r="B12" s="12" t="s">
        <v>16</v>
      </c>
      <c r="C12" s="13">
        <v>24985.1</v>
      </c>
      <c r="D12" s="13">
        <v>26860.7</v>
      </c>
      <c r="E12" s="17">
        <f t="shared" ref="E12:E16" si="2">D12-C12</f>
        <v>1875.6000000000022</v>
      </c>
      <c r="F12" s="49">
        <f t="shared" si="0"/>
        <v>7.5068740969617978E-2</v>
      </c>
      <c r="G12" s="39">
        <v>14982.16</v>
      </c>
      <c r="H12" s="13">
        <v>111490.15</v>
      </c>
      <c r="I12" s="13">
        <v>114705.7</v>
      </c>
      <c r="J12" s="17">
        <f>I12-H12</f>
        <v>3215.5500000000029</v>
      </c>
      <c r="K12" s="49">
        <f t="shared" si="1"/>
        <v>2.8841561339723761E-2</v>
      </c>
      <c r="L12" s="38">
        <v>67462.47</v>
      </c>
    </row>
    <row r="13" spans="1:12" ht="13.5" customHeight="1" thickBot="1" x14ac:dyDescent="0.3">
      <c r="B13" s="32" t="s">
        <v>21</v>
      </c>
      <c r="C13" s="30">
        <v>0.59960000000000002</v>
      </c>
      <c r="D13" s="23">
        <v>0.51849999999999996</v>
      </c>
      <c r="E13" s="59">
        <v>-8.1100000000000005E-2</v>
      </c>
      <c r="F13" s="36"/>
      <c r="G13" s="41">
        <v>13927.01</v>
      </c>
      <c r="H13" s="30" t="s">
        <v>38</v>
      </c>
      <c r="I13" s="23">
        <v>0.57820000000000005</v>
      </c>
      <c r="J13" s="59">
        <v>-2.7199999999999998E-2</v>
      </c>
      <c r="K13" s="36"/>
      <c r="L13" s="41">
        <v>66319.28</v>
      </c>
    </row>
    <row r="14" spans="1:12" ht="16.5" customHeight="1" x14ac:dyDescent="0.25">
      <c r="B14" s="12" t="s">
        <v>22</v>
      </c>
      <c r="C14" s="43">
        <v>114792</v>
      </c>
      <c r="D14" s="20">
        <v>186240</v>
      </c>
      <c r="E14" s="17">
        <f t="shared" si="2"/>
        <v>71448</v>
      </c>
      <c r="F14" s="60">
        <f>E14/C14</f>
        <v>0.62241271168722556</v>
      </c>
      <c r="G14" s="38">
        <v>33026.9</v>
      </c>
      <c r="H14" s="43">
        <v>581450</v>
      </c>
      <c r="I14" s="20">
        <v>760307.08</v>
      </c>
      <c r="J14" s="10">
        <f>I14-H14</f>
        <v>178857.07999999996</v>
      </c>
      <c r="K14" s="49">
        <f t="shared" si="1"/>
        <v>0.30760526270530564</v>
      </c>
      <c r="L14" s="38">
        <v>169781.59</v>
      </c>
    </row>
    <row r="15" spans="1:12" ht="15.75" customHeight="1" thickBot="1" x14ac:dyDescent="0.3">
      <c r="B15" s="31" t="s">
        <v>21</v>
      </c>
      <c r="C15" s="33">
        <v>0.28770000000000001</v>
      </c>
      <c r="D15" s="33">
        <v>0.27939999999999998</v>
      </c>
      <c r="E15" s="63">
        <v>-8.3000000000000001E-3</v>
      </c>
      <c r="F15" s="47"/>
      <c r="G15" s="42">
        <v>52032.22</v>
      </c>
      <c r="H15" s="33" t="s">
        <v>37</v>
      </c>
      <c r="I15" s="33">
        <v>0.30620000000000003</v>
      </c>
      <c r="J15" s="61">
        <v>1.4200000000000001E-2</v>
      </c>
      <c r="K15" s="47"/>
      <c r="L15" s="42">
        <v>232817.86</v>
      </c>
    </row>
    <row r="16" spans="1:12" ht="16.5" customHeight="1" thickTop="1" x14ac:dyDescent="0.25">
      <c r="B16" s="54" t="s">
        <v>29</v>
      </c>
      <c r="C16" s="13">
        <v>52398.8</v>
      </c>
      <c r="D16" s="50">
        <v>54144.5</v>
      </c>
      <c r="E16" s="17">
        <f t="shared" si="2"/>
        <v>1745.6999999999971</v>
      </c>
      <c r="F16" s="49">
        <f>E16/C16</f>
        <v>3.3315648449964444E-2</v>
      </c>
      <c r="G16" s="55">
        <v>28134.16</v>
      </c>
      <c r="H16" s="13">
        <v>212153</v>
      </c>
      <c r="I16" s="50">
        <v>241566</v>
      </c>
      <c r="J16" s="10">
        <f>I16-H16</f>
        <v>29413</v>
      </c>
      <c r="K16" s="49">
        <f t="shared" si="1"/>
        <v>0.13864050944365622</v>
      </c>
      <c r="L16" s="57">
        <v>112759.81</v>
      </c>
    </row>
    <row r="17" spans="2:17" ht="15" customHeight="1" thickBot="1" x14ac:dyDescent="0.3">
      <c r="B17" s="27" t="s">
        <v>21</v>
      </c>
      <c r="C17" s="28">
        <v>0.53690000000000004</v>
      </c>
      <c r="D17" s="28">
        <v>0.54590000000000005</v>
      </c>
      <c r="E17" s="29">
        <v>8.9999999999999993E-3</v>
      </c>
      <c r="F17" s="35"/>
      <c r="G17" s="56">
        <v>29557.1</v>
      </c>
      <c r="H17" s="48" t="s">
        <v>39</v>
      </c>
      <c r="I17" s="28">
        <v>0.53239999999999998</v>
      </c>
      <c r="J17" s="29">
        <v>8.9999999999999998E-4</v>
      </c>
      <c r="K17" s="36"/>
      <c r="L17" s="56">
        <v>128608.88</v>
      </c>
    </row>
    <row r="18" spans="2:17" ht="16.5" customHeight="1" thickBot="1" x14ac:dyDescent="0.3">
      <c r="B18" s="6" t="s">
        <v>9</v>
      </c>
      <c r="C18" s="65"/>
      <c r="D18" s="66"/>
      <c r="E18" s="66"/>
      <c r="F18" s="66"/>
      <c r="G18" s="67"/>
      <c r="H18" s="6" t="s">
        <v>9</v>
      </c>
      <c r="I18" s="7"/>
      <c r="J18" s="8"/>
      <c r="K18" s="37"/>
      <c r="L18" s="9"/>
    </row>
    <row r="19" spans="2:17" ht="16.5" customHeight="1" x14ac:dyDescent="0.25">
      <c r="B19" s="103" t="s">
        <v>13</v>
      </c>
      <c r="C19" s="68" t="s">
        <v>19</v>
      </c>
      <c r="D19" s="69"/>
      <c r="E19" s="69"/>
      <c r="F19" s="69"/>
      <c r="G19" s="70"/>
      <c r="H19" s="103" t="s">
        <v>15</v>
      </c>
      <c r="I19" s="90" t="s">
        <v>19</v>
      </c>
      <c r="J19" s="91"/>
      <c r="K19" s="91"/>
      <c r="L19" s="92"/>
    </row>
    <row r="20" spans="2:17" ht="16.5" customHeight="1" x14ac:dyDescent="0.25">
      <c r="B20" s="104"/>
      <c r="C20" s="71" t="s">
        <v>18</v>
      </c>
      <c r="D20" s="72"/>
      <c r="E20" s="72"/>
      <c r="F20" s="72"/>
      <c r="G20" s="73"/>
      <c r="H20" s="104"/>
      <c r="I20" s="71" t="s">
        <v>18</v>
      </c>
      <c r="J20" s="72"/>
      <c r="K20" s="72"/>
      <c r="L20" s="73"/>
    </row>
    <row r="21" spans="2:17" ht="27" customHeight="1" thickBot="1" x14ac:dyDescent="0.3">
      <c r="B21" s="104"/>
      <c r="C21" s="74"/>
      <c r="D21" s="75"/>
      <c r="E21" s="75"/>
      <c r="F21" s="75"/>
      <c r="G21" s="76"/>
      <c r="H21" s="104"/>
      <c r="I21" s="86"/>
      <c r="J21" s="106"/>
      <c r="K21" s="106"/>
      <c r="L21" s="107"/>
      <c r="N21" s="26"/>
    </row>
    <row r="22" spans="2:17" ht="16.5" customHeight="1" x14ac:dyDescent="0.25">
      <c r="B22" s="104"/>
      <c r="C22" s="77"/>
      <c r="D22" s="78"/>
      <c r="E22" s="78"/>
      <c r="F22" s="78"/>
      <c r="G22" s="79"/>
      <c r="H22" s="104"/>
      <c r="I22" s="89"/>
      <c r="J22" s="84"/>
      <c r="K22" s="84"/>
      <c r="L22" s="85"/>
    </row>
    <row r="23" spans="2:17" ht="15.75" customHeight="1" x14ac:dyDescent="0.25">
      <c r="B23" s="104"/>
      <c r="C23" s="96"/>
      <c r="D23" s="97"/>
      <c r="E23" s="97"/>
      <c r="F23" s="97"/>
      <c r="G23" s="98"/>
      <c r="H23" s="104"/>
      <c r="I23" s="68"/>
      <c r="J23" s="69"/>
      <c r="K23" s="69"/>
      <c r="L23" s="70"/>
      <c r="Q23" s="4"/>
    </row>
    <row r="24" spans="2:17" ht="15.75" customHeight="1" thickBot="1" x14ac:dyDescent="0.3">
      <c r="B24" s="105"/>
      <c r="C24" s="99"/>
      <c r="D24" s="100"/>
      <c r="E24" s="100"/>
      <c r="F24" s="100"/>
      <c r="G24" s="101"/>
      <c r="H24" s="105"/>
      <c r="I24" s="102"/>
      <c r="J24" s="81"/>
      <c r="K24" s="81"/>
      <c r="L24" s="82"/>
    </row>
    <row r="25" spans="2:17" ht="17.25" customHeight="1" x14ac:dyDescent="0.25">
      <c r="B25" s="103" t="s">
        <v>14</v>
      </c>
      <c r="C25" s="68" t="s">
        <v>19</v>
      </c>
      <c r="D25" s="69"/>
      <c r="E25" s="69"/>
      <c r="F25" s="69"/>
      <c r="G25" s="70"/>
      <c r="H25" s="103" t="s">
        <v>16</v>
      </c>
      <c r="I25" s="90" t="s">
        <v>19</v>
      </c>
      <c r="J25" s="91"/>
      <c r="K25" s="91"/>
      <c r="L25" s="92"/>
    </row>
    <row r="26" spans="2:17" ht="15.75" customHeight="1" x14ac:dyDescent="0.25">
      <c r="B26" s="104"/>
      <c r="C26" s="93" t="s">
        <v>18</v>
      </c>
      <c r="D26" s="94"/>
      <c r="E26" s="94"/>
      <c r="F26" s="94"/>
      <c r="G26" s="95"/>
      <c r="H26" s="104"/>
      <c r="I26" s="93" t="s">
        <v>18</v>
      </c>
      <c r="J26" s="84"/>
      <c r="K26" s="84"/>
      <c r="L26" s="85"/>
    </row>
    <row r="27" spans="2:17" ht="15" customHeight="1" x14ac:dyDescent="0.25">
      <c r="B27" s="104"/>
      <c r="C27" s="86"/>
      <c r="D27" s="87"/>
      <c r="E27" s="87"/>
      <c r="F27" s="87"/>
      <c r="G27" s="88"/>
      <c r="H27" s="104"/>
      <c r="I27" s="83"/>
      <c r="J27" s="84"/>
      <c r="K27" s="84"/>
      <c r="L27" s="85"/>
    </row>
    <row r="28" spans="2:17" ht="15" customHeight="1" x14ac:dyDescent="0.25">
      <c r="B28" s="104"/>
      <c r="C28" s="89"/>
      <c r="D28" s="84"/>
      <c r="E28" s="84"/>
      <c r="F28" s="84"/>
      <c r="G28" s="85"/>
      <c r="H28" s="104"/>
      <c r="I28" s="89"/>
      <c r="J28" s="84"/>
      <c r="K28" s="84"/>
      <c r="L28" s="85"/>
    </row>
    <row r="29" spans="2:17" ht="15.75" customHeight="1" thickBot="1" x14ac:dyDescent="0.3">
      <c r="B29" s="105"/>
      <c r="C29" s="111"/>
      <c r="D29" s="112"/>
      <c r="E29" s="112"/>
      <c r="F29" s="112"/>
      <c r="G29" s="113"/>
      <c r="H29" s="105"/>
      <c r="I29" s="80"/>
      <c r="J29" s="81"/>
      <c r="K29" s="81"/>
      <c r="L29" s="82"/>
    </row>
    <row r="30" spans="2:17" ht="27" customHeight="1" x14ac:dyDescent="0.25">
      <c r="B30" s="103" t="s">
        <v>22</v>
      </c>
      <c r="C30" s="68" t="s">
        <v>19</v>
      </c>
      <c r="D30" s="69"/>
      <c r="E30" s="69"/>
      <c r="F30" s="69"/>
      <c r="G30" s="70"/>
      <c r="H30" s="103"/>
      <c r="I30" s="83"/>
      <c r="J30" s="84"/>
      <c r="K30" s="84"/>
      <c r="L30" s="85"/>
    </row>
    <row r="31" spans="2:17" ht="15" customHeight="1" x14ac:dyDescent="0.25">
      <c r="B31" s="104"/>
      <c r="C31" s="93" t="s">
        <v>18</v>
      </c>
      <c r="D31" s="94"/>
      <c r="E31" s="94"/>
      <c r="F31" s="94"/>
      <c r="G31" s="95"/>
      <c r="H31" s="104"/>
      <c r="I31" s="89"/>
      <c r="J31" s="84"/>
      <c r="K31" s="84"/>
      <c r="L31" s="85"/>
    </row>
    <row r="32" spans="2:17" ht="24.75" customHeight="1" x14ac:dyDescent="0.25">
      <c r="B32" s="104"/>
      <c r="C32" s="114"/>
      <c r="D32" s="115"/>
      <c r="E32" s="115"/>
      <c r="F32" s="115"/>
      <c r="G32" s="116"/>
      <c r="H32" s="104"/>
      <c r="I32" s="83"/>
      <c r="J32" s="84"/>
      <c r="K32" s="84"/>
      <c r="L32" s="85"/>
    </row>
    <row r="33" spans="2:12" ht="15" customHeight="1" x14ac:dyDescent="0.25">
      <c r="B33" s="104"/>
      <c r="C33" s="86"/>
      <c r="D33" s="117"/>
      <c r="E33" s="117"/>
      <c r="F33" s="117"/>
      <c r="G33" s="118"/>
      <c r="H33" s="104"/>
      <c r="I33" s="89"/>
      <c r="J33" s="84"/>
      <c r="K33" s="84"/>
      <c r="L33" s="85"/>
    </row>
    <row r="34" spans="2:12" ht="15.75" customHeight="1" thickBot="1" x14ac:dyDescent="0.3">
      <c r="B34" s="105"/>
      <c r="C34" s="108"/>
      <c r="D34" s="109"/>
      <c r="E34" s="109"/>
      <c r="F34" s="109"/>
      <c r="G34" s="110"/>
      <c r="H34" s="105"/>
      <c r="I34" s="80"/>
      <c r="J34" s="81"/>
      <c r="K34" s="81"/>
      <c r="L34" s="82"/>
    </row>
  </sheetData>
  <mergeCells count="38">
    <mergeCell ref="I34:L34"/>
    <mergeCell ref="I31:L31"/>
    <mergeCell ref="I32:L32"/>
    <mergeCell ref="I33:L33"/>
    <mergeCell ref="I30:L30"/>
    <mergeCell ref="B19:B24"/>
    <mergeCell ref="H19:H24"/>
    <mergeCell ref="B30:B34"/>
    <mergeCell ref="H30:H34"/>
    <mergeCell ref="I19:L19"/>
    <mergeCell ref="I20:L20"/>
    <mergeCell ref="I21:L21"/>
    <mergeCell ref="I28:L28"/>
    <mergeCell ref="C34:G34"/>
    <mergeCell ref="C29:G29"/>
    <mergeCell ref="B25:B29"/>
    <mergeCell ref="C30:G30"/>
    <mergeCell ref="C31:G31"/>
    <mergeCell ref="C32:G32"/>
    <mergeCell ref="C33:G33"/>
    <mergeCell ref="H25:H29"/>
    <mergeCell ref="C22:G22"/>
    <mergeCell ref="I29:L29"/>
    <mergeCell ref="I27:L27"/>
    <mergeCell ref="C27:G27"/>
    <mergeCell ref="C28:G28"/>
    <mergeCell ref="I22:L22"/>
    <mergeCell ref="I25:L25"/>
    <mergeCell ref="I26:L26"/>
    <mergeCell ref="C25:G25"/>
    <mergeCell ref="C26:G26"/>
    <mergeCell ref="C23:G24"/>
    <mergeCell ref="I23:L24"/>
    <mergeCell ref="K1:L1"/>
    <mergeCell ref="C18:G18"/>
    <mergeCell ref="C19:G19"/>
    <mergeCell ref="C20:G20"/>
    <mergeCell ref="C21:G21"/>
  </mergeCells>
  <printOptions horizontalCentered="1" verticalCentered="1"/>
  <pageMargins left="0.25" right="0.25" top="0.5" bottom="0.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</dc:creator>
  <cp:lastModifiedBy>Administrator</cp:lastModifiedBy>
  <cp:lastPrinted>2026-04-04T10:04:20Z</cp:lastPrinted>
  <dcterms:created xsi:type="dcterms:W3CDTF">2020-01-03T10:59:43Z</dcterms:created>
  <dcterms:modified xsi:type="dcterms:W3CDTF">2026-05-06T12:30:45Z</dcterms:modified>
</cp:coreProperties>
</file>